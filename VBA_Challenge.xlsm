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oot Camp Repository\VBA_Challenge\VBA_Challenge\"/>
    </mc:Choice>
  </mc:AlternateContent>
  <xr:revisionPtr revIDLastSave="0" documentId="13_ncr:1_{695405FB-0962-4C99-AEAC-472C9C4762BD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Performance Results" sheetId="7" r:id="rId5"/>
    <sheet name="Skill Drill 2" sheetId="6" r:id="rId6"/>
    <sheet name="Skill Drill" sheetId="5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7" l="1"/>
  <c r="B4" i="7"/>
  <c r="E3" i="7"/>
  <c r="E2" i="7"/>
  <c r="D3" i="7"/>
  <c r="D2" i="7"/>
  <c r="E4" i="7" l="1"/>
  <c r="D4" i="7"/>
</calcChain>
</file>

<file path=xl/sharedStrings.xml><?xml version="1.0" encoding="utf-8"?>
<sst xmlns="http://schemas.openxmlformats.org/spreadsheetml/2006/main" count="12092" uniqueCount="534">
  <si>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</si>
  <si>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</si>
  <si>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</si>
  <si>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</si>
  <si>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</si>
  <si>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</si>
  <si>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</si>
  <si>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</si>
  <si>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</si>
  <si>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</si>
  <si>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</si>
  <si>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</si>
  <si>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</si>
  <si>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</si>
  <si>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</si>
  <si>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</si>
  <si>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</si>
  <si>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</si>
  <si>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</si>
  <si>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</si>
  <si>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</si>
  <si>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</si>
  <si>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</si>
  <si>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</si>
  <si>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</si>
  <si>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</si>
  <si>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</si>
  <si>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</si>
  <si>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</si>
  <si>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</si>
  <si>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</si>
  <si>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</si>
  <si>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</si>
  <si>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</si>
  <si>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</si>
  <si>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</si>
  <si>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</si>
  <si>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</si>
  <si>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</si>
  <si>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</si>
  <si>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</si>
  <si>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</si>
  <si>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</si>
  <si>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</si>
  <si>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</si>
  <si>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</si>
  <si>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</si>
  <si>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</si>
  <si>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</si>
  <si>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</si>
  <si>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</si>
  <si>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</si>
  <si>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</si>
  <si>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</si>
  <si>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</si>
  <si>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</si>
  <si>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</si>
  <si>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</si>
  <si>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</si>
  <si>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</si>
  <si>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</si>
  <si>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</si>
  <si>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</si>
  <si>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</si>
  <si>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</si>
  <si>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</si>
  <si>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</si>
  <si>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</si>
  <si>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</si>
  <si>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</si>
  <si>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</si>
  <si>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</si>
  <si>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</si>
  <si>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</si>
  <si>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</si>
  <si>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</si>
  <si>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</si>
  <si>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</si>
  <si>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</si>
  <si>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</si>
  <si>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</si>
  <si>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</si>
  <si>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</si>
  <si>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</si>
  <si>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</si>
  <si>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</si>
  <si>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</si>
  <si>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</si>
  <si>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</si>
  <si>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</si>
  <si>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</si>
  <si>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</si>
  <si>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</si>
  <si>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</si>
  <si>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</si>
  <si>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</si>
  <si>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</si>
  <si>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</si>
  <si>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</si>
  <si>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</si>
  <si>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</si>
  <si>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</si>
  <si>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</si>
  <si>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</si>
  <si>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</si>
  <si>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</si>
  <si>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</si>
  <si>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</si>
  <si>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</si>
  <si>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</si>
  <si>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</si>
  <si>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</si>
  <si>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</si>
  <si>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</si>
  <si>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</si>
  <si>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</si>
  <si>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</si>
  <si>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</si>
  <si>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</si>
  <si>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</si>
  <si>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</si>
  <si>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</si>
  <si>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</si>
  <si>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</si>
  <si>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</si>
  <si>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</si>
  <si>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</si>
  <si>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</si>
  <si>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</si>
  <si>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</si>
  <si>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</si>
  <si>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</si>
  <si>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</si>
  <si>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</si>
  <si>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</si>
  <si>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</si>
  <si>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</si>
  <si>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</si>
  <si>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</si>
  <si>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</si>
  <si>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</si>
  <si>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</si>
  <si>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</si>
  <si>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</si>
  <si>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</si>
  <si>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</si>
  <si>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</si>
  <si>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</si>
  <si>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</si>
  <si>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</si>
  <si>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</si>
  <si>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</si>
  <si>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</si>
  <si>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</si>
  <si>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</si>
  <si>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</si>
  <si>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</si>
  <si>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</si>
  <si>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</si>
  <si>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</si>
  <si>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</si>
  <si>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</si>
  <si>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</si>
  <si>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</si>
  <si>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</si>
  <si>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</si>
  <si>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</si>
  <si>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</si>
  <si>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</si>
  <si>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</si>
  <si>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</si>
  <si>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</si>
  <si>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</si>
  <si>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</si>
  <si>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</si>
  <si>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</si>
  <si>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</si>
  <si>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</si>
  <si>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</si>
  <si>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</si>
  <si>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</si>
  <si>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</si>
  <si>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</si>
  <si>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</si>
  <si>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</si>
  <si>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</si>
  <si>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</si>
  <si>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</si>
  <si>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</si>
  <si>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</si>
  <si>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</si>
  <si>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</si>
  <si>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</si>
  <si>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</si>
  <si>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</si>
  <si>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</si>
  <si>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</si>
  <si>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</si>
  <si>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</si>
  <si>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</si>
  <si>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</si>
  <si>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</si>
  <si>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</si>
  <si>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</si>
  <si>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</si>
  <si>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</si>
  <si>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</si>
  <si>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</si>
  <si>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</si>
  <si>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</si>
  <si>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</si>
  <si>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</si>
  <si>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</si>
  <si>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</si>
  <si>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</si>
  <si>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</si>
  <si>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</si>
  <si>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</si>
  <si>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</si>
  <si>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</si>
  <si>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</si>
  <si>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</si>
  <si>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</si>
  <si>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</si>
  <si>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</si>
  <si>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</si>
  <si>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</si>
  <si>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</si>
  <si>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</si>
  <si>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</si>
  <si>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</si>
  <si>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</si>
  <si>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</si>
  <si>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</si>
  <si>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</si>
  <si>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</si>
  <si>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</si>
  <si>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</si>
  <si>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</si>
  <si>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</si>
  <si>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</si>
  <si>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</si>
  <si>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</si>
  <si>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</si>
  <si>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</si>
  <si>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</si>
  <si>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</si>
  <si>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</si>
  <si>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</si>
  <si>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</si>
  <si>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</si>
  <si>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</si>
  <si>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</si>
  <si>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</si>
  <si>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</si>
  <si>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</si>
  <si>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</si>
  <si>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</si>
  <si>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</si>
  <si>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</si>
  <si>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</si>
  <si>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</si>
  <si>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</si>
  <si>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</si>
  <si>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</si>
  <si>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</si>
  <si>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</si>
  <si>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</si>
  <si>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</si>
  <si>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</si>
  <si>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</si>
  <si>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</si>
  <si>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</si>
  <si>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</si>
  <si>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</si>
  <si>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</si>
  <si>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</si>
  <si>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</si>
  <si>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</si>
  <si>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</si>
  <si>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</si>
  <si>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</si>
  <si>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</si>
  <si>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</si>
  <si>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</si>
  <si>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</si>
  <si>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</si>
  <si>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</si>
  <si>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</si>
  <si>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</si>
  <si>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</si>
  <si>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</si>
  <si>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</si>
  <si>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</si>
  <si>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</si>
  <si>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</si>
  <si>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</si>
  <si>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</si>
  <si>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</si>
  <si>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</si>
  <si>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</si>
  <si>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</si>
  <si>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</si>
  <si>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</si>
  <si>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</si>
  <si>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</si>
  <si>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</si>
  <si>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</si>
  <si>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</si>
  <si>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</si>
  <si>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</si>
  <si>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</si>
  <si>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</si>
  <si>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</si>
  <si>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</si>
  <si>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</si>
  <si>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</si>
  <si>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</si>
  <si>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</si>
  <si>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</si>
  <si>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</si>
  <si>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</si>
  <si>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</si>
  <si>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</si>
  <si>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</si>
  <si>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</si>
  <si>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</si>
  <si>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</si>
  <si>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</si>
  <si>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</si>
  <si>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</si>
  <si>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</si>
  <si>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</si>
  <si>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</si>
  <si>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</si>
  <si>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</si>
  <si>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</si>
  <si>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</si>
  <si>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</si>
  <si>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</si>
  <si>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</si>
  <si>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</si>
  <si>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</si>
  <si>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</si>
  <si>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</si>
  <si>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</si>
  <si>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</si>
  <si>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</si>
  <si>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</si>
  <si>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</si>
  <si>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</si>
  <si>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</si>
  <si>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</si>
  <si>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</si>
  <si>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</si>
  <si>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</si>
  <si>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</si>
  <si>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</si>
  <si>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</si>
  <si>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</si>
  <si>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</si>
  <si>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</si>
  <si>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</si>
  <si>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</si>
  <si>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</si>
  <si>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</si>
  <si>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</si>
  <si>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</si>
  <si>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</si>
  <si>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</si>
  <si>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</si>
  <si>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</si>
  <si>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</si>
  <si>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</si>
  <si>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</si>
  <si>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</si>
  <si>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</si>
  <si>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</si>
  <si>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</si>
  <si>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</si>
  <si>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</si>
  <si>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</si>
  <si>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</si>
  <si>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</si>
  <si>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</si>
  <si>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</si>
  <si>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</si>
  <si>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</si>
  <si>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</si>
  <si>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</si>
  <si>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</si>
  <si>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</si>
  <si>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</si>
  <si>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</si>
  <si>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</si>
  <si>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</si>
  <si>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</si>
  <si>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</si>
  <si>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</si>
  <si>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</si>
  <si>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</si>
  <si>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</si>
  <si>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</si>
  <si>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</si>
  <si>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</si>
  <si>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</si>
  <si>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</si>
  <si>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</si>
  <si>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</si>
  <si>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</si>
  <si>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</si>
  <si>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</si>
  <si>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</si>
  <si>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</si>
  <si>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</si>
  <si>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</si>
  <si>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</si>
  <si>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</si>
  <si>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</si>
  <si>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</si>
  <si>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</si>
  <si>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</si>
  <si>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</si>
  <si>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</si>
  <si>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</si>
  <si>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</si>
  <si>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</si>
  <si>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</si>
  <si>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</si>
  <si>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</si>
  <si>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</si>
  <si>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</si>
  <si>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</si>
  <si>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</si>
  <si>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</si>
  <si>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</si>
  <si>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</si>
  <si>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</si>
  <si>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</si>
  <si>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</si>
  <si>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</si>
  <si>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</si>
  <si>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</si>
  <si>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</si>
  <si>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</si>
  <si>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</si>
  <si>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</si>
  <si>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</si>
  <si>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</si>
  <si>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</si>
  <si>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</si>
  <si>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</si>
  <si>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</si>
  <si>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</si>
  <si>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</si>
  <si>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</si>
  <si>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</si>
  <si>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</si>
  <si>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</si>
  <si>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</si>
  <si>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</si>
  <si>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</si>
  <si>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</si>
  <si>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</si>
  <si>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</si>
  <si>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</si>
  <si>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</si>
  <si>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</si>
  <si>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</si>
  <si>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</si>
  <si>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</si>
  <si>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</si>
  <si>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</si>
  <si>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</si>
  <si>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</si>
  <si>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</si>
  <si>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</si>
  <si>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</si>
  <si>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</si>
  <si>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</si>
  <si>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</si>
  <si>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</si>
  <si>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</si>
  <si>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</si>
  <si>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</si>
  <si>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</si>
  <si>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</si>
  <si>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</si>
  <si>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</si>
  <si>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</si>
  <si>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</si>
  <si>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</si>
  <si>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</si>
  <si>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</si>
  <si>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</si>
  <si>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</si>
  <si>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</si>
  <si>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</si>
  <si>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</si>
  <si>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</si>
  <si>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</si>
  <si>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</si>
  <si>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</si>
  <si>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</si>
  <si>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</si>
  <si>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</si>
  <si>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</si>
  <si>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</si>
  <si>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</si>
  <si>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</si>
  <si>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</si>
  <si>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</si>
  <si>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</si>
  <si>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</si>
  <si>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</si>
  <si>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</si>
  <si>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</si>
  <si>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</si>
  <si>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</si>
  <si>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</si>
  <si>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</si>
  <si>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</si>
  <si>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</si>
  <si>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</si>
  <si>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</si>
  <si>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</si>
  <si>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Starting Price</t>
  </si>
  <si>
    <t>Ending Price</t>
  </si>
  <si>
    <t>All Stocks (2018)</t>
  </si>
  <si>
    <t>Original</t>
  </si>
  <si>
    <t>Refactured</t>
  </si>
  <si>
    <t>Time Reduction</t>
  </si>
  <si>
    <t>Reduction %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</si>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</sst>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.000"/>
    <numFmt numFmtId="165" formatCode="0.#0%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4" borderId="0" xfId="0" applyFill="1"/>
    <xf numFmtId="0" fontId="0" fillId="5" borderId="0" xfId="0" applyFill="1"/>
    <xf numFmtId="0" fontId="0" fillId="4" borderId="2" xfId="0" applyFill="1" applyBorder="1"/>
    <xf numFmtId="0" fontId="0" fillId="5" borderId="2" xfId="0" applyFill="1" applyBorder="1"/>
    <xf numFmtId="0" fontId="0" fillId="5" borderId="3" xfId="0" applyFill="1" applyBorder="1"/>
    <xf numFmtId="0" fontId="0" fillId="4" borderId="3" xfId="0" applyFill="1" applyBorder="1"/>
    <xf numFmtId="0" fontId="0" fillId="5" borderId="4" xfId="0" applyFill="1" applyBorder="1"/>
    <xf numFmtId="0" fontId="0" fillId="4" borderId="5" xfId="0" applyFill="1" applyBorder="1"/>
    <xf numFmtId="0" fontId="0" fillId="5" borderId="5" xfId="0" applyFill="1" applyBorder="1"/>
    <xf numFmtId="0" fontId="0" fillId="4" borderId="6" xfId="0" applyFill="1" applyBorder="1"/>
    <xf numFmtId="0" fontId="0" fillId="5" borderId="7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9" xfId="0" applyFill="1" applyBorder="1"/>
    <xf numFmtId="3" fontId="0" fillId="0" borderId="0" xfId="0" applyNumberFormat="1"/>
    <xf numFmtId="0" fontId="4" fillId="0" borderId="10" xfId="0" applyFont="1" applyBorder="1"/>
    <xf numFmtId="164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  <xf numFmtId="10" fontId="0" fillId="0" borderId="0" xfId="1" applyNumberFormat="1" applyFont="1"/>
    <xf numFmtId="166" fontId="0" fillId="0" borderId="0" xfId="0" applyNumberFormat="1"/>
  </cellXfs>
  <cellStyles count="2">
    <cellStyle name="Normal" xfId="0" builtinId="0"/>
    <cellStyle name="Percent" xfId="1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66" formatCode="0.00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160020</xdr:colOff>
          <xdr:row>2</xdr:row>
          <xdr:rowOff>68580</xdr:rowOff>
        </xdr:from>
        <xdr:to>
          <xdr:col>6</xdr:col>
          <xdr:colOff>312420</xdr:colOff>
          <xdr:row>5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205740</xdr:colOff>
          <xdr:row>7</xdr:row>
          <xdr:rowOff>129540</xdr:rowOff>
        </xdr:from>
        <xdr:to>
          <xdr:col>6</xdr:col>
          <xdr:colOff>312420</xdr:colOff>
          <xdr:row>11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</xdr:row>
          <xdr:rowOff>0</xdr:rowOff>
        </xdr:from>
        <xdr:to>
          <xdr:col>8</xdr:col>
          <xdr:colOff>175260</xdr:colOff>
          <xdr:row>5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6</xdr:row>
          <xdr:rowOff>60960</xdr:rowOff>
        </xdr:from>
        <xdr:to>
          <xdr:col>8</xdr:col>
          <xdr:colOff>137160</xdr:colOff>
          <xdr:row>9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2</xdr:row>
          <xdr:rowOff>0</xdr:rowOff>
        </xdr:from>
        <xdr:to>
          <xdr:col>11</xdr:col>
          <xdr:colOff>175260</xdr:colOff>
          <xdr:row>5</xdr:row>
          <xdr:rowOff>60960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Refactured</a:t>
              </a:r>
            </a:p>
            <a:p>
              <a:pPr algn="ctr" rtl="0">
                <a:defRPr sz="1000"/>
              </a:pPr>
              <a:r>
                <a:rPr lang="es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4FECFC-5611-46EC-B7D2-65B936B74E73}" name="Table1" displayName="Table1" ref="A1:E4" totalsRowShown="0">
  <tableColumns count="5">
    <tableColumn id="1" xr3:uid="{55B2E059-A67A-4426-B90A-C21B9D036E65}" name="Year"/>
    <tableColumn id="2" xr3:uid="{51FCF2DF-CC06-4AAE-B71B-AE5D7399A2C5}" name="Original"/>
    <tableColumn id="3" xr3:uid="{DE9BDBEF-ECF7-4310-8926-09DF93F7A78E}" name="Refactured"/>
    <tableColumn id="4" xr3:uid="{4A393EA3-BD0A-4F11-B48A-8BB2E0A2614F}" name="Time Reduction" dataDxfId="1">
      <calculatedColumnFormula>+B2-C2</calculatedColumnFormula>
    </tableColumn>
    <tableColumn id="5" xr3:uid="{C638CEE2-7B57-4DC2-B165-44C8CDC222D2}" name="Reduction %" dataDxfId="0" dataCellStyle="Percent">
      <calculatedColumnFormula>+(C2/B2)-1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2" workbookViewId="0">
      <selection activeCell="C320" sqref="C320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85" workbookViewId="0">
      <selection activeCell="O14" sqref="O14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83C0F-5326-48D9-9F57-25CC2D7A28D9}">
  <sheetPr codeName="Sheet3"/>
  <dimension ref="A1:C4"/>
  <sheetViews>
    <sheetView workbookViewId="0">
      <selection activeCell="F18" sqref="F18"/>
    </sheetView>
  </sheetViews>
  <sheetFormatPr defaultRowHeight="14.4" x14ac:dyDescent="0.3"/>
  <cols>
    <col min="2" max="2" width="14.66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Q_Anailysis">
                <anchor moveWithCells="1" sizeWithCells="1">
                  <from>
                    <xdr:col>4</xdr:col>
                    <xdr:colOff>160020</xdr:colOff>
                    <xdr:row>2</xdr:row>
                    <xdr:rowOff>68580</xdr:rowOff>
                  </from>
                  <to>
                    <xdr:col>6</xdr:col>
                    <xdr:colOff>312420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All">
                <anchor moveWithCells="1" sizeWithCells="1">
                  <from>
                    <xdr:col>4</xdr:col>
                    <xdr:colOff>205740</xdr:colOff>
                    <xdr:row>7</xdr:row>
                    <xdr:rowOff>129540</xdr:rowOff>
                  </from>
                  <to>
                    <xdr:col>6</xdr:col>
                    <xdr:colOff>312420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DA11-AD59-4589-8D23-B0CA455FC964}">
  <sheetPr codeName="Sheet4"/>
  <dimension ref="A1:E15"/>
  <sheetViews>
    <sheetView tabSelected="1" workbookViewId="0">
      <selection activeCell="K13" sqref="K13"/>
    </sheetView>
  </sheetViews>
  <sheetFormatPr defaultRowHeight="14.4" x14ac:dyDescent="0.3"/>
  <cols>
    <col min="2" max="2" width="22.33203125" bestFit="1" customWidth="1"/>
    <col min="3" max="3" width="9.5546875" bestFit="1" customWidth="1"/>
    <col min="4" max="4" width="17.21875" bestFit="1" customWidth="1"/>
    <col min="5" max="5" width="15.6640625" bestFit="1" customWidth="1"/>
  </cols>
  <sheetData>
    <row r="1" spans="1:5" x14ac:dyDescent="0.3">
      <c r="A1" t="s">
        <v>528</v>
      </c>
    </row>
    <row r="3" spans="1:5" ht="18" x14ac:dyDescent="0.35">
      <c r="A3" s="17" t="s">
        <v>0</v>
      </c>
      <c r="B3" s="17" t="s">
        <v>524</v>
      </c>
      <c r="C3" s="17" t="s">
        <v>525</v>
      </c>
      <c r="D3" s="17" t="s">
        <v>526</v>
      </c>
      <c r="E3" s="17" t="s">
        <v>527</v>
      </c>
    </row>
    <row r="4" spans="1:5" x14ac:dyDescent="0.3">
      <c r="A4" t="s">
        <v>8</v>
      </c>
      <c r="B4" s="16">
        <v>83079900</v>
      </c>
      <c r="C4" s="19">
        <v>-7.9812154173851013E-2</v>
      </c>
      <c r="D4" s="18">
        <v>21.299999237060547</v>
      </c>
      <c r="E4" s="18">
        <v>19.600000381469727</v>
      </c>
    </row>
    <row r="5" spans="1:5" x14ac:dyDescent="0.3">
      <c r="A5" t="s">
        <v>9</v>
      </c>
      <c r="B5" s="16">
        <v>200879900</v>
      </c>
      <c r="C5" s="19">
        <v>-0.15547700226306915</v>
      </c>
      <c r="D5" s="18">
        <v>16.979999542236328</v>
      </c>
      <c r="E5" s="18">
        <v>14.340000152587891</v>
      </c>
    </row>
    <row r="6" spans="1:5" x14ac:dyDescent="0.3">
      <c r="A6" t="s">
        <v>10</v>
      </c>
      <c r="B6" s="16">
        <v>107873900</v>
      </c>
      <c r="C6" s="19">
        <v>-0.61077845096588135</v>
      </c>
      <c r="D6" s="18">
        <v>60.119998931884766</v>
      </c>
      <c r="E6" s="18">
        <v>23.399999618530273</v>
      </c>
    </row>
    <row r="7" spans="1:5" x14ac:dyDescent="0.3">
      <c r="A7" t="s">
        <v>11</v>
      </c>
      <c r="B7" s="16">
        <v>607473500</v>
      </c>
      <c r="C7" s="20">
        <v>0.97907942533493042</v>
      </c>
      <c r="D7" s="18">
        <v>2.3900001049041748</v>
      </c>
      <c r="E7" s="18">
        <v>4.7300000190734863</v>
      </c>
    </row>
    <row r="8" spans="1:5" x14ac:dyDescent="0.3">
      <c r="A8" t="s">
        <v>12</v>
      </c>
      <c r="B8" s="16">
        <v>478113900</v>
      </c>
      <c r="C8" s="19">
        <v>-0.37411555647850037</v>
      </c>
      <c r="D8" s="18">
        <v>67.839996337890625</v>
      </c>
      <c r="E8" s="18">
        <v>42.459999084472656</v>
      </c>
    </row>
    <row r="9" spans="1:5" x14ac:dyDescent="0.3">
      <c r="A9" t="s">
        <v>13</v>
      </c>
      <c r="B9" s="16">
        <v>104340600</v>
      </c>
      <c r="C9" s="19">
        <v>-0.2082294374704361</v>
      </c>
      <c r="D9" s="18">
        <v>24.059999465942383</v>
      </c>
      <c r="E9" s="18">
        <v>19.049999237060547</v>
      </c>
    </row>
    <row r="10" spans="1:5" x14ac:dyDescent="0.3">
      <c r="A10" t="s">
        <v>14</v>
      </c>
      <c r="B10" s="16">
        <v>158309000</v>
      </c>
      <c r="C10" s="19">
        <v>-0.58996683359146118</v>
      </c>
      <c r="D10" s="18">
        <v>24.120000839233398</v>
      </c>
      <c r="E10" s="18">
        <v>9.8900003433227539</v>
      </c>
    </row>
    <row r="11" spans="1:5" x14ac:dyDescent="0.3">
      <c r="A11" t="s">
        <v>15</v>
      </c>
      <c r="B11" s="16">
        <v>502757100</v>
      </c>
      <c r="C11" s="20">
        <v>0.85204082727432251</v>
      </c>
      <c r="D11" s="18">
        <v>5.880000114440918</v>
      </c>
      <c r="E11" s="18">
        <v>10.890000343322754</v>
      </c>
    </row>
    <row r="12" spans="1:5" x14ac:dyDescent="0.3">
      <c r="A12" t="s">
        <v>16</v>
      </c>
      <c r="B12" s="16">
        <v>237212300</v>
      </c>
      <c r="C12" s="19">
        <v>-6.7729160189628601E-2</v>
      </c>
      <c r="D12" s="18">
        <v>37.650001525878906</v>
      </c>
      <c r="E12" s="18">
        <v>35.099998474121094</v>
      </c>
    </row>
    <row r="13" spans="1:5" x14ac:dyDescent="0.3">
      <c r="A13" t="s">
        <v>17</v>
      </c>
      <c r="B13" s="16">
        <v>538024300</v>
      </c>
      <c r="C13" s="19">
        <v>-0.41735053062438965</v>
      </c>
      <c r="D13" s="18">
        <v>8.5299997329711914</v>
      </c>
      <c r="E13" s="18">
        <v>4.9699997901916504</v>
      </c>
    </row>
    <row r="14" spans="1:5" x14ac:dyDescent="0.3">
      <c r="A14" t="s">
        <v>18</v>
      </c>
      <c r="B14" s="16">
        <v>151434700</v>
      </c>
      <c r="C14" s="19">
        <v>-6.8106286227703094E-2</v>
      </c>
      <c r="D14" s="18">
        <v>12.039999961853027</v>
      </c>
      <c r="E14" s="18">
        <v>11.220000267028809</v>
      </c>
    </row>
    <row r="15" spans="1:5" x14ac:dyDescent="0.3">
      <c r="A15" t="s">
        <v>19</v>
      </c>
      <c r="B15" s="16">
        <v>136539100</v>
      </c>
      <c r="C15" s="19">
        <v>-4.7500014305114746E-2</v>
      </c>
      <c r="D15" s="18">
        <v>4</v>
      </c>
      <c r="E15" s="18">
        <v>3.809999942779541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Year_Value_Analyis">
                <anchor moveWithCells="1" sizeWithCells="1">
                  <from>
                    <xdr:col>6</xdr:col>
                    <xdr:colOff>22860</xdr:colOff>
                    <xdr:row>2</xdr:row>
                    <xdr:rowOff>0</xdr:rowOff>
                  </from>
                  <to>
                    <xdr:col>8</xdr:col>
                    <xdr:colOff>175260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All">
                <anchor moveWithCells="1" sizeWithCells="1">
                  <from>
                    <xdr:col>6</xdr:col>
                    <xdr:colOff>30480</xdr:colOff>
                    <xdr:row>6</xdr:row>
                    <xdr:rowOff>60960</xdr:rowOff>
                  </from>
                  <to>
                    <xdr:col>8</xdr:col>
                    <xdr:colOff>137160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llStocksAnalysisRefactored">
                <anchor moveWithCells="1" sizeWithCells="1">
                  <from>
                    <xdr:col>9</xdr:col>
                    <xdr:colOff>22860</xdr:colOff>
                    <xdr:row>2</xdr:row>
                    <xdr:rowOff>0</xdr:rowOff>
                  </from>
                  <to>
                    <xdr:col>11</xdr:col>
                    <xdr:colOff>175260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20F11-CBA1-44D3-BF8D-CB5515D86982}">
  <sheetPr codeName="Sheet7"/>
  <dimension ref="A1:E4"/>
  <sheetViews>
    <sheetView workbookViewId="0">
      <selection activeCell="D10" sqref="D10"/>
    </sheetView>
  </sheetViews>
  <sheetFormatPr defaultRowHeight="14.4" x14ac:dyDescent="0.3"/>
  <cols>
    <col min="2" max="2" width="9.77734375" customWidth="1"/>
    <col min="3" max="3" width="12.33203125" customWidth="1"/>
    <col min="4" max="4" width="16.44140625" customWidth="1"/>
    <col min="5" max="5" width="13.6640625" customWidth="1"/>
  </cols>
  <sheetData>
    <row r="1" spans="1:5" x14ac:dyDescent="0.3">
      <c r="A1" t="s">
        <v>523</v>
      </c>
      <c r="B1" t="s">
        <v>529</v>
      </c>
      <c r="C1" t="s">
        <v>530</v>
      </c>
      <c r="D1" t="s">
        <v>531</v>
      </c>
      <c r="E1" t="s">
        <v>532</v>
      </c>
    </row>
    <row r="2" spans="1:5" x14ac:dyDescent="0.3">
      <c r="A2">
        <v>2017</v>
      </c>
      <c r="B2">
        <v>0.57420000000000004</v>
      </c>
      <c r="C2">
        <v>5.0700000000000002E-2</v>
      </c>
      <c r="D2" s="22">
        <f>+B2-C2</f>
        <v>0.52350000000000008</v>
      </c>
      <c r="E2" s="21">
        <f>+(C2/B2)-1</f>
        <v>-0.91170323928944619</v>
      </c>
    </row>
    <row r="3" spans="1:5" x14ac:dyDescent="0.3">
      <c r="A3">
        <v>2018</v>
      </c>
      <c r="B3">
        <v>0.55069999999999997</v>
      </c>
      <c r="C3">
        <v>4.6899999999999997E-2</v>
      </c>
      <c r="D3" s="22">
        <f>+B3-C3</f>
        <v>0.50380000000000003</v>
      </c>
      <c r="E3" s="21">
        <f>+(C3/B3)-1</f>
        <v>-0.91483566370074454</v>
      </c>
    </row>
    <row r="4" spans="1:5" x14ac:dyDescent="0.3">
      <c r="A4" t="s">
        <v>533</v>
      </c>
      <c r="B4">
        <f>+AVERAGE(B2:B3)</f>
        <v>0.56245000000000001</v>
      </c>
      <c r="C4">
        <f>+AVERAGE(C2:C3)</f>
        <v>4.8799999999999996E-2</v>
      </c>
      <c r="D4" s="22">
        <f>+B4-C4</f>
        <v>0.51365000000000005</v>
      </c>
      <c r="E4" s="21">
        <f>+(C4/B4)-1</f>
        <v>-0.91323673215396928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F5B20-8D61-49CC-A90D-CC50EA84E21C}">
  <sheetPr codeName="Sheet6"/>
  <dimension ref="B1:I9"/>
  <sheetViews>
    <sheetView workbookViewId="0">
      <selection activeCell="D8" sqref="D8"/>
    </sheetView>
  </sheetViews>
  <sheetFormatPr defaultRowHeight="27" customHeight="1" x14ac:dyDescent="0.3"/>
  <cols>
    <col min="2" max="9" width="5.77734375" customWidth="1"/>
  </cols>
  <sheetData>
    <row r="1" spans="2:9" ht="25.05" customHeight="1" x14ac:dyDescent="0.3"/>
    <row r="2" spans="2:9" ht="25.05" customHeight="1" x14ac:dyDescent="0.3">
      <c r="B2" s="8"/>
      <c r="C2" s="7"/>
      <c r="D2" s="6"/>
      <c r="E2" s="7"/>
      <c r="F2" s="6"/>
      <c r="G2" s="7"/>
      <c r="H2" s="6"/>
      <c r="I2" s="11"/>
    </row>
    <row r="3" spans="2:9" ht="25.05" customHeight="1" x14ac:dyDescent="0.3">
      <c r="B3" s="9"/>
      <c r="C3" s="3"/>
      <c r="D3" s="2"/>
      <c r="E3" s="3"/>
      <c r="F3" s="2"/>
      <c r="G3" s="3"/>
      <c r="H3" s="2"/>
      <c r="I3" s="12"/>
    </row>
    <row r="4" spans="2:9" ht="25.05" customHeight="1" x14ac:dyDescent="0.3">
      <c r="B4" s="10"/>
      <c r="C4" s="2"/>
      <c r="D4" s="3"/>
      <c r="E4" s="2"/>
      <c r="F4" s="3"/>
      <c r="G4" s="2"/>
      <c r="H4" s="3"/>
      <c r="I4" s="13"/>
    </row>
    <row r="5" spans="2:9" ht="25.05" customHeight="1" x14ac:dyDescent="0.3">
      <c r="B5" s="9"/>
      <c r="C5" s="3"/>
      <c r="D5" s="2"/>
      <c r="E5" s="3"/>
      <c r="F5" s="2"/>
      <c r="G5" s="3"/>
      <c r="H5" s="2"/>
      <c r="I5" s="12"/>
    </row>
    <row r="6" spans="2:9" ht="25.05" customHeight="1" x14ac:dyDescent="0.3">
      <c r="B6" s="10"/>
      <c r="C6" s="2"/>
      <c r="D6" s="3"/>
      <c r="E6" s="2"/>
      <c r="F6" s="3"/>
      <c r="G6" s="2"/>
      <c r="H6" s="3"/>
      <c r="I6" s="13"/>
    </row>
    <row r="7" spans="2:9" ht="25.05" customHeight="1" x14ac:dyDescent="0.3">
      <c r="B7" s="9"/>
      <c r="C7" s="3"/>
      <c r="D7" s="2"/>
      <c r="E7" s="3"/>
      <c r="F7" s="2"/>
      <c r="G7" s="3"/>
      <c r="H7" s="2"/>
      <c r="I7" s="12"/>
    </row>
    <row r="8" spans="2:9" ht="25.05" customHeight="1" x14ac:dyDescent="0.3">
      <c r="B8" s="10"/>
      <c r="C8" s="2"/>
      <c r="D8" s="3"/>
      <c r="E8" s="2"/>
      <c r="F8" s="3"/>
      <c r="G8" s="2"/>
      <c r="H8" s="3"/>
      <c r="I8" s="13"/>
    </row>
    <row r="9" spans="2:9" ht="25.05" customHeight="1" x14ac:dyDescent="0.3">
      <c r="B9" s="14"/>
      <c r="C9" s="5"/>
      <c r="D9" s="4"/>
      <c r="E9" s="5"/>
      <c r="F9" s="4"/>
      <c r="G9" s="5"/>
      <c r="H9" s="4"/>
      <c r="I9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0A952-8BA8-499D-BEB7-39B2987DBE9C}">
  <sheetPr codeName="Sheet5"/>
  <dimension ref="A1:J10"/>
  <sheetViews>
    <sheetView workbookViewId="0">
      <selection activeCell="C15" sqref="C15"/>
    </sheetView>
  </sheetViews>
  <sheetFormatPr defaultRowHeight="14.4" x14ac:dyDescent="0.3"/>
  <sheetData>
    <row r="1" spans="1:10" x14ac:dyDescent="0.3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3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3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3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3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3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3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3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3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3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Performance Results</vt:lpstr>
      <vt:lpstr>Skill Drill 2</vt:lpstr>
      <vt:lpstr>Skill 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yamila Quelempan</dc:creator>
  <cp:lastModifiedBy>yamila Quelempan</cp:lastModifiedBy>
  <dcterms:created xsi:type="dcterms:W3CDTF">2019-05-02T20:23:55Z</dcterms:created>
  <dcterms:modified xsi:type="dcterms:W3CDTF">2021-11-21T19:34:54Z</dcterms:modified>
</cp:coreProperties>
</file>